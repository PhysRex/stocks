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pu\Documents\coding\python\stocks\"/>
    </mc:Choice>
  </mc:AlternateContent>
  <xr:revisionPtr revIDLastSave="0" documentId="13_ncr:1_{5363AF35-399C-4FB2-8D3E-FA6F13E39A03}" xr6:coauthVersionLast="47" xr6:coauthVersionMax="47" xr10:uidLastSave="{00000000-0000-0000-0000-000000000000}"/>
  <bookViews>
    <workbookView xWindow="2940" yWindow="1545" windowWidth="25050" windowHeight="15345" xr2:uid="{74C44A96-89F2-45D8-865B-E7A60127977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F39" i="1" s="1"/>
  <c r="E38" i="1"/>
  <c r="F38" i="1" s="1"/>
  <c r="C43" i="1"/>
  <c r="E43" i="1"/>
  <c r="D43" i="1" s="1"/>
  <c r="E42" i="1"/>
  <c r="F42" i="1" s="1"/>
  <c r="C31" i="1"/>
  <c r="E37" i="1"/>
  <c r="F37" i="1" s="1"/>
  <c r="C29" i="1"/>
  <c r="D22" i="1"/>
  <c r="E22" i="1" s="1"/>
  <c r="D21" i="1"/>
  <c r="E21" i="1" s="1"/>
  <c r="D20" i="1"/>
  <c r="E20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4" i="1"/>
  <c r="D29" i="1" l="1"/>
  <c r="E44" i="1"/>
  <c r="C44" i="1"/>
  <c r="D31" i="1"/>
  <c r="F43" i="1"/>
  <c r="E4" i="1"/>
  <c r="E31" i="1" l="1"/>
  <c r="F31" i="1" s="1"/>
  <c r="E29" i="1"/>
  <c r="F29" i="1" s="1"/>
  <c r="D44" i="1"/>
  <c r="F44" i="1"/>
  <c r="C45" i="1" l="1"/>
  <c r="E45" i="1"/>
  <c r="D45" i="1" l="1"/>
  <c r="F45" i="1"/>
  <c r="C46" i="1" l="1"/>
  <c r="E46" i="1"/>
  <c r="D46" i="1" l="1"/>
  <c r="F46" i="1"/>
  <c r="C47" i="1" l="1"/>
  <c r="E47" i="1"/>
  <c r="D47" i="1" l="1"/>
  <c r="F47" i="1"/>
  <c r="C48" i="1" l="1"/>
  <c r="E48" i="1"/>
  <c r="D48" i="1" l="1"/>
  <c r="F48" i="1"/>
  <c r="C49" i="1" l="1"/>
  <c r="E49" i="1"/>
  <c r="D49" i="1" l="1"/>
  <c r="F49" i="1"/>
  <c r="C50" i="1" l="1"/>
  <c r="E50" i="1"/>
  <c r="D50" i="1" l="1"/>
  <c r="F50" i="1"/>
  <c r="C51" i="1" l="1"/>
  <c r="E51" i="1"/>
  <c r="D51" i="1" l="1"/>
  <c r="F51" i="1"/>
  <c r="C52" i="1" l="1"/>
  <c r="E52" i="1"/>
  <c r="D52" i="1" l="1"/>
  <c r="F52" i="1"/>
  <c r="C53" i="1" l="1"/>
  <c r="E53" i="1"/>
  <c r="F53" i="1" s="1"/>
  <c r="D53" i="1"/>
  <c r="C54" i="1" l="1"/>
  <c r="E54" i="1"/>
  <c r="F54" i="1" s="1"/>
  <c r="D54" i="1"/>
  <c r="E56" i="1" s="1"/>
  <c r="F56" i="1" s="1"/>
</calcChain>
</file>

<file path=xl/sharedStrings.xml><?xml version="1.0" encoding="utf-8"?>
<sst xmlns="http://schemas.openxmlformats.org/spreadsheetml/2006/main" count="29" uniqueCount="29">
  <si>
    <t>Feb 2021 Price</t>
  </si>
  <si>
    <t>Ticker</t>
  </si>
  <si>
    <t>AAPL</t>
  </si>
  <si>
    <t>MSFT</t>
  </si>
  <si>
    <t>FB</t>
  </si>
  <si>
    <t>JPM</t>
  </si>
  <si>
    <t>INTC</t>
  </si>
  <si>
    <t>WMT</t>
  </si>
  <si>
    <t>VZ</t>
  </si>
  <si>
    <t>BAC</t>
  </si>
  <si>
    <t>UNH</t>
  </si>
  <si>
    <t>JNJ</t>
  </si>
  <si>
    <t>PG</t>
  </si>
  <si>
    <t>HD</t>
  </si>
  <si>
    <t>MS</t>
  </si>
  <si>
    <t>MRK</t>
  </si>
  <si>
    <t>V</t>
  </si>
  <si>
    <t>CMCSA</t>
  </si>
  <si>
    <t>Nov 13 price</t>
  </si>
  <si>
    <t>Diff</t>
  </si>
  <si>
    <t>LMT</t>
  </si>
  <si>
    <t>MMM</t>
  </si>
  <si>
    <t>GE</t>
  </si>
  <si>
    <t>S&amp;P 500</t>
  </si>
  <si>
    <t>Current Projected FIDELITY test account</t>
  </si>
  <si>
    <t>top 10</t>
  </si>
  <si>
    <t>VOO</t>
  </si>
  <si>
    <t>top 19</t>
  </si>
  <si>
    <t>IVV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</si>
</sst>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72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0" fontId="5" fillId="4" borderId="0" xfId="0" applyFont="1" applyFill="1" applyAlignment="1">
      <alignment horizontal="center" vertical="center" wrapText="1"/>
    </xf>
    <xf numFmtId="0" fontId="2" fillId="2" borderId="0" xfId="3"/>
    <xf numFmtId="9" fontId="0" fillId="0" borderId="0" xfId="2" applyFont="1"/>
    <xf numFmtId="164" fontId="0" fillId="0" borderId="0" xfId="2" applyNumberFormat="1" applyFont="1"/>
    <xf numFmtId="0" fontId="3" fillId="3" borderId="0" xfId="4"/>
    <xf numFmtId="44" fontId="0" fillId="0" borderId="0" xfId="1" applyFont="1"/>
    <xf numFmtId="0" fontId="4" fillId="0" borderId="0" xfId="0" applyFont="1"/>
    <xf numFmtId="17" fontId="0" fillId="0" borderId="0" xfId="0" applyNumberFormat="1"/>
    <xf numFmtId="172" fontId="0" fillId="0" borderId="0" xfId="1" applyNumberFormat="1" applyFont="1"/>
  </cellXfs>
  <cellStyles count="5">
    <cellStyle name="Currency" xfId="1" builtinId="4"/>
    <cellStyle name="Good" xfId="3" builtinId="26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-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-13-2021--12-30"/>
    </sheetNames>
    <sheetDataSet>
      <sheetData sheetId="0">
        <row r="1">
          <cell r="B1" t="str">
            <v>Ticker</v>
          </cell>
          <cell r="C1" t="str">
            <v>Price</v>
          </cell>
        </row>
        <row r="2">
          <cell r="B2" t="str">
            <v>MSFT</v>
          </cell>
          <cell r="C2">
            <v>336.72</v>
          </cell>
        </row>
        <row r="3">
          <cell r="B3" t="str">
            <v>AAPL</v>
          </cell>
          <cell r="C3">
            <v>149.99</v>
          </cell>
        </row>
        <row r="4">
          <cell r="B4" t="str">
            <v>GOOG</v>
          </cell>
          <cell r="C4">
            <v>2992.91</v>
          </cell>
        </row>
        <row r="5">
          <cell r="B5" t="str">
            <v>GOOGL</v>
          </cell>
          <cell r="C5">
            <v>2973.56</v>
          </cell>
        </row>
        <row r="6">
          <cell r="B6" t="str">
            <v>AMZN</v>
          </cell>
          <cell r="C6">
            <v>3525.15</v>
          </cell>
        </row>
        <row r="7">
          <cell r="B7" t="str">
            <v>TSLA</v>
          </cell>
          <cell r="C7">
            <v>1033.42</v>
          </cell>
        </row>
        <row r="8">
          <cell r="B8" t="str">
            <v>FB</v>
          </cell>
          <cell r="C8">
            <v>340.89</v>
          </cell>
        </row>
        <row r="9">
          <cell r="B9" t="str">
            <v>NVDA</v>
          </cell>
          <cell r="C9">
            <v>303.89999999999998</v>
          </cell>
        </row>
        <row r="10">
          <cell r="B10" t="str">
            <v>BRK-A</v>
          </cell>
          <cell r="C10">
            <v>431575</v>
          </cell>
        </row>
        <row r="11">
          <cell r="B11" t="str">
            <v>JPM</v>
          </cell>
          <cell r="C11">
            <v>166.86</v>
          </cell>
        </row>
        <row r="12">
          <cell r="B12" t="str">
            <v>JNJ</v>
          </cell>
          <cell r="C12">
            <v>165.01</v>
          </cell>
        </row>
        <row r="13">
          <cell r="B13" t="str">
            <v>V</v>
          </cell>
          <cell r="C13">
            <v>212.09</v>
          </cell>
        </row>
        <row r="14">
          <cell r="B14" t="str">
            <v>UNH</v>
          </cell>
          <cell r="C14">
            <v>458.99</v>
          </cell>
        </row>
        <row r="15">
          <cell r="B15" t="str">
            <v>WMT</v>
          </cell>
          <cell r="C15">
            <v>147.76</v>
          </cell>
        </row>
        <row r="16">
          <cell r="B16" t="str">
            <v>HD</v>
          </cell>
          <cell r="C16">
            <v>372.63</v>
          </cell>
        </row>
        <row r="17">
          <cell r="B17" t="str">
            <v>BAC</v>
          </cell>
          <cell r="C17">
            <v>46.91</v>
          </cell>
        </row>
        <row r="18">
          <cell r="B18" t="str">
            <v>PG</v>
          </cell>
          <cell r="C18">
            <v>146.56</v>
          </cell>
        </row>
        <row r="19">
          <cell r="B19" t="str">
            <v>MA</v>
          </cell>
          <cell r="C19">
            <v>363.5</v>
          </cell>
        </row>
        <row r="20">
          <cell r="B20" t="str">
            <v>ADBE</v>
          </cell>
          <cell r="C20">
            <v>657.6</v>
          </cell>
        </row>
        <row r="21">
          <cell r="B21" t="str">
            <v>NFLX</v>
          </cell>
          <cell r="C21">
            <v>682.61</v>
          </cell>
        </row>
        <row r="22">
          <cell r="B22" t="str">
            <v>CRM</v>
          </cell>
          <cell r="C22">
            <v>306.64999999999998</v>
          </cell>
        </row>
        <row r="23">
          <cell r="B23" t="str">
            <v>NKE</v>
          </cell>
          <cell r="C23">
            <v>169.09</v>
          </cell>
        </row>
        <row r="24">
          <cell r="B24" t="str">
            <v>TMO</v>
          </cell>
          <cell r="C24">
            <v>635.25</v>
          </cell>
        </row>
        <row r="25">
          <cell r="B25" t="str">
            <v>ORCL</v>
          </cell>
          <cell r="C25">
            <v>93.54</v>
          </cell>
        </row>
        <row r="26">
          <cell r="B26" t="str">
            <v>LLY</v>
          </cell>
          <cell r="C26">
            <v>259.64999999999998</v>
          </cell>
        </row>
        <row r="27">
          <cell r="B27" t="str">
            <v>PFE</v>
          </cell>
          <cell r="C27">
            <v>49.73</v>
          </cell>
        </row>
        <row r="28">
          <cell r="B28" t="str">
            <v>PYPL</v>
          </cell>
          <cell r="C28">
            <v>208.3</v>
          </cell>
        </row>
        <row r="29">
          <cell r="B29" t="str">
            <v>KO</v>
          </cell>
          <cell r="C29">
            <v>56.61</v>
          </cell>
        </row>
        <row r="30">
          <cell r="B30" t="str">
            <v>CSCO</v>
          </cell>
          <cell r="C30">
            <v>56.82</v>
          </cell>
        </row>
        <row r="31">
          <cell r="B31" t="str">
            <v>CMCSA</v>
          </cell>
          <cell r="C31">
            <v>53.5</v>
          </cell>
        </row>
        <row r="32">
          <cell r="B32" t="str">
            <v>ABT</v>
          </cell>
          <cell r="C32">
            <v>128.44999999999999</v>
          </cell>
        </row>
        <row r="33">
          <cell r="B33" t="str">
            <v>MRK</v>
          </cell>
          <cell r="C33">
            <v>84</v>
          </cell>
        </row>
        <row r="34">
          <cell r="B34" t="str">
            <v>COST</v>
          </cell>
          <cell r="C34">
            <v>517.16999999999996</v>
          </cell>
        </row>
        <row r="35">
          <cell r="B35" t="str">
            <v>DHR</v>
          </cell>
          <cell r="C35">
            <v>304.38</v>
          </cell>
        </row>
        <row r="36">
          <cell r="B36" t="str">
            <v>AVGO</v>
          </cell>
          <cell r="C36">
            <v>563.22</v>
          </cell>
        </row>
        <row r="37">
          <cell r="B37" t="str">
            <v>PEP</v>
          </cell>
          <cell r="C37">
            <v>162.65</v>
          </cell>
        </row>
        <row r="38">
          <cell r="B38" t="str">
            <v>CVX</v>
          </cell>
          <cell r="C38">
            <v>114.23</v>
          </cell>
        </row>
        <row r="39">
          <cell r="B39" t="str">
            <v>VZ</v>
          </cell>
          <cell r="C39">
            <v>52.34</v>
          </cell>
        </row>
        <row r="40">
          <cell r="B40" t="str">
            <v>ABBV</v>
          </cell>
          <cell r="C40">
            <v>116.97</v>
          </cell>
        </row>
        <row r="41">
          <cell r="B41" t="str">
            <v>WFC</v>
          </cell>
          <cell r="C41">
            <v>50.96</v>
          </cell>
        </row>
        <row r="42">
          <cell r="B42" t="str">
            <v>INTC</v>
          </cell>
          <cell r="C42">
            <v>50.31</v>
          </cell>
        </row>
        <row r="43">
          <cell r="B43" t="str">
            <v>UPS</v>
          </cell>
          <cell r="C43">
            <v>213.19</v>
          </cell>
        </row>
        <row r="44">
          <cell r="B44" t="str">
            <v>MCD</v>
          </cell>
          <cell r="C44">
            <v>250.67</v>
          </cell>
        </row>
        <row r="45">
          <cell r="B45" t="str">
            <v>MS</v>
          </cell>
          <cell r="C45">
            <v>99.85</v>
          </cell>
        </row>
        <row r="46">
          <cell r="B46" t="str">
            <v>AMD</v>
          </cell>
          <cell r="C46">
            <v>147.88999999999999</v>
          </cell>
        </row>
        <row r="47">
          <cell r="B47" t="str">
            <v>QCOM</v>
          </cell>
          <cell r="C47">
            <v>164.94</v>
          </cell>
        </row>
        <row r="48">
          <cell r="B48" t="str">
            <v>BX</v>
          </cell>
          <cell r="C48">
            <v>143</v>
          </cell>
        </row>
        <row r="49">
          <cell r="B49" t="str">
            <v>INTU</v>
          </cell>
          <cell r="C49">
            <v>626.99</v>
          </cell>
        </row>
        <row r="50">
          <cell r="B50" t="str">
            <v>TXN</v>
          </cell>
          <cell r="C50">
            <v>190.08</v>
          </cell>
        </row>
        <row r="51">
          <cell r="B51" t="str">
            <v>LOW</v>
          </cell>
          <cell r="C51">
            <v>236.32</v>
          </cell>
        </row>
        <row r="52">
          <cell r="B52" t="str">
            <v>NEE</v>
          </cell>
          <cell r="C52">
            <v>86.31</v>
          </cell>
        </row>
        <row r="53">
          <cell r="B53" t="str">
            <v>SCHW</v>
          </cell>
          <cell r="C53">
            <v>82.11</v>
          </cell>
        </row>
        <row r="54">
          <cell r="B54" t="str">
            <v>UNP</v>
          </cell>
          <cell r="C54">
            <v>242.44</v>
          </cell>
        </row>
        <row r="55">
          <cell r="B55" t="str">
            <v>HON</v>
          </cell>
          <cell r="C55">
            <v>222.39</v>
          </cell>
        </row>
        <row r="56">
          <cell r="B56" t="str">
            <v>BLK</v>
          </cell>
          <cell r="C56">
            <v>971.49</v>
          </cell>
        </row>
        <row r="57">
          <cell r="B57" t="str">
            <v>TMUS</v>
          </cell>
          <cell r="C57">
            <v>118.24</v>
          </cell>
        </row>
        <row r="58">
          <cell r="B58" t="str">
            <v>PM</v>
          </cell>
          <cell r="C58">
            <v>94.76</v>
          </cell>
        </row>
        <row r="59">
          <cell r="B59" t="str">
            <v>AXP</v>
          </cell>
          <cell r="C59">
            <v>181.89</v>
          </cell>
        </row>
        <row r="60">
          <cell r="B60" t="str">
            <v>C</v>
          </cell>
          <cell r="C60">
            <v>69.16</v>
          </cell>
        </row>
        <row r="61">
          <cell r="B61" t="str">
            <v>AMAT</v>
          </cell>
          <cell r="C61">
            <v>156.82</v>
          </cell>
        </row>
        <row r="62">
          <cell r="B62" t="str">
            <v>GS</v>
          </cell>
          <cell r="C62">
            <v>404.91</v>
          </cell>
        </row>
        <row r="63">
          <cell r="B63" t="str">
            <v>TGT</v>
          </cell>
          <cell r="C63">
            <v>260.02</v>
          </cell>
        </row>
        <row r="64">
          <cell r="B64" t="str">
            <v>RTX</v>
          </cell>
          <cell r="C64">
            <v>88.86</v>
          </cell>
        </row>
        <row r="65">
          <cell r="B65" t="str">
            <v>SBUX</v>
          </cell>
          <cell r="C65">
            <v>111.72</v>
          </cell>
        </row>
        <row r="66">
          <cell r="B66" t="str">
            <v>CVS</v>
          </cell>
          <cell r="C66">
            <v>94.02</v>
          </cell>
        </row>
        <row r="67">
          <cell r="B67" t="str">
            <v>AMT</v>
          </cell>
          <cell r="C67">
            <v>272.10000000000002</v>
          </cell>
        </row>
        <row r="68">
          <cell r="B68" t="str">
            <v>CHTR</v>
          </cell>
          <cell r="C68">
            <v>689.35</v>
          </cell>
        </row>
        <row r="69">
          <cell r="B69" t="str">
            <v>EL</v>
          </cell>
          <cell r="C69">
            <v>346.72</v>
          </cell>
        </row>
        <row r="70">
          <cell r="B70" t="str">
            <v>AMGN</v>
          </cell>
          <cell r="C70">
            <v>211.39</v>
          </cell>
        </row>
        <row r="71">
          <cell r="B71" t="str">
            <v>GE</v>
          </cell>
          <cell r="C71">
            <v>107.59</v>
          </cell>
        </row>
        <row r="72">
          <cell r="B72" t="str">
            <v>CAT</v>
          </cell>
          <cell r="C72">
            <v>209.27</v>
          </cell>
        </row>
        <row r="73">
          <cell r="B73" t="str">
            <v>MRNA</v>
          </cell>
          <cell r="C73">
            <v>231.19</v>
          </cell>
        </row>
        <row r="74">
          <cell r="B74" t="str">
            <v>DE</v>
          </cell>
          <cell r="C74">
            <v>358.86</v>
          </cell>
        </row>
        <row r="75">
          <cell r="B75" t="str">
            <v>SPGI</v>
          </cell>
          <cell r="C75">
            <v>453.36</v>
          </cell>
        </row>
        <row r="76">
          <cell r="B76" t="str">
            <v>ANTM</v>
          </cell>
          <cell r="C76">
            <v>437.01</v>
          </cell>
        </row>
        <row r="77">
          <cell r="B77" t="str">
            <v>MMM</v>
          </cell>
          <cell r="C77">
            <v>183.66</v>
          </cell>
        </row>
        <row r="78">
          <cell r="B78" t="str">
            <v>IBM</v>
          </cell>
          <cell r="C78">
            <v>118.96</v>
          </cell>
        </row>
        <row r="79">
          <cell r="B79" t="str">
            <v>ADI</v>
          </cell>
          <cell r="C79">
            <v>184.79</v>
          </cell>
        </row>
        <row r="80">
          <cell r="B80" t="str">
            <v>ADP</v>
          </cell>
          <cell r="C80">
            <v>230.93</v>
          </cell>
        </row>
        <row r="81">
          <cell r="B81" t="str">
            <v>COP</v>
          </cell>
          <cell r="C81">
            <v>72.36</v>
          </cell>
        </row>
        <row r="82">
          <cell r="B82" t="str">
            <v>LMT</v>
          </cell>
          <cell r="C82">
            <v>339.06</v>
          </cell>
        </row>
        <row r="83">
          <cell r="B83" t="str">
            <v>GM</v>
          </cell>
          <cell r="C83">
            <v>63.4</v>
          </cell>
        </row>
        <row r="84">
          <cell r="B84" t="str">
            <v>USB</v>
          </cell>
          <cell r="C84">
            <v>60.5</v>
          </cell>
        </row>
        <row r="85">
          <cell r="B85" t="str">
            <v>MDLZ</v>
          </cell>
          <cell r="C85">
            <v>62.78</v>
          </cell>
        </row>
        <row r="86">
          <cell r="B86" t="str">
            <v>PNC</v>
          </cell>
          <cell r="C86">
            <v>203.61</v>
          </cell>
        </row>
        <row r="87">
          <cell r="B87" t="str">
            <v>LRCX</v>
          </cell>
          <cell r="C87">
            <v>624.41999999999996</v>
          </cell>
        </row>
        <row r="88">
          <cell r="B88" t="str">
            <v>MU</v>
          </cell>
          <cell r="C88">
            <v>77.3</v>
          </cell>
        </row>
        <row r="89">
          <cell r="B89" t="str">
            <v>GILD</v>
          </cell>
          <cell r="C89">
            <v>67.48</v>
          </cell>
        </row>
        <row r="90">
          <cell r="B90" t="str">
            <v>MMC</v>
          </cell>
          <cell r="C90">
            <v>166.7</v>
          </cell>
        </row>
        <row r="91">
          <cell r="B91" t="str">
            <v>TFC</v>
          </cell>
          <cell r="C91">
            <v>62.7</v>
          </cell>
        </row>
        <row r="92">
          <cell r="B92" t="str">
            <v>MO</v>
          </cell>
          <cell r="C92">
            <v>44.92</v>
          </cell>
        </row>
        <row r="93">
          <cell r="B93" t="str">
            <v>TJX</v>
          </cell>
          <cell r="C93">
            <v>68.8</v>
          </cell>
        </row>
        <row r="94">
          <cell r="B94" t="str">
            <v>CME</v>
          </cell>
          <cell r="C94">
            <v>224.85</v>
          </cell>
        </row>
        <row r="95">
          <cell r="B95" t="str">
            <v>F</v>
          </cell>
          <cell r="C95">
            <v>19.5</v>
          </cell>
        </row>
        <row r="96">
          <cell r="B96" t="str">
            <v>CSX</v>
          </cell>
          <cell r="C96">
            <v>35.229999999999997</v>
          </cell>
        </row>
        <row r="97">
          <cell r="B97" t="str">
            <v>ICE</v>
          </cell>
          <cell r="C97">
            <v>135.29</v>
          </cell>
        </row>
        <row r="98">
          <cell r="B98" t="str">
            <v>DUK</v>
          </cell>
          <cell r="C98">
            <v>99.88</v>
          </cell>
        </row>
        <row r="99">
          <cell r="B99" t="str">
            <v>HCA</v>
          </cell>
          <cell r="C99">
            <v>245.27</v>
          </cell>
        </row>
        <row r="100">
          <cell r="B100" t="str">
            <v>ITW</v>
          </cell>
          <cell r="C100">
            <v>238.59</v>
          </cell>
        </row>
        <row r="101">
          <cell r="B101" t="str">
            <v>CI</v>
          </cell>
          <cell r="C101">
            <v>217.73</v>
          </cell>
        </row>
        <row r="102">
          <cell r="B102" t="str">
            <v>MCO</v>
          </cell>
          <cell r="C102">
            <v>388.02</v>
          </cell>
        </row>
        <row r="103">
          <cell r="B103" t="str">
            <v>REGN</v>
          </cell>
          <cell r="C103">
            <v>631.20000000000005</v>
          </cell>
        </row>
        <row r="104">
          <cell r="B104" t="str">
            <v>COF</v>
          </cell>
          <cell r="C104">
            <v>156.80000000000001</v>
          </cell>
        </row>
        <row r="105">
          <cell r="B105" t="str">
            <v>KKR</v>
          </cell>
          <cell r="C105">
            <v>78.78</v>
          </cell>
        </row>
        <row r="106">
          <cell r="B106" t="str">
            <v>FDX</v>
          </cell>
          <cell r="C106">
            <v>253.88</v>
          </cell>
        </row>
        <row r="107">
          <cell r="B107" t="str">
            <v>NSC</v>
          </cell>
          <cell r="C107">
            <v>275.58999999999997</v>
          </cell>
        </row>
        <row r="108">
          <cell r="B108" t="str">
            <v>CL</v>
          </cell>
          <cell r="C108">
            <v>78.03</v>
          </cell>
        </row>
        <row r="109">
          <cell r="B109" t="str">
            <v>SO</v>
          </cell>
          <cell r="C109">
            <v>61.89</v>
          </cell>
        </row>
        <row r="110">
          <cell r="B110" t="str">
            <v>KLAC</v>
          </cell>
          <cell r="C110">
            <v>413.28</v>
          </cell>
        </row>
        <row r="111">
          <cell r="B111" t="str">
            <v>D</v>
          </cell>
          <cell r="C111">
            <v>74.739999999999995</v>
          </cell>
        </row>
        <row r="112">
          <cell r="B112" t="str">
            <v>EMR</v>
          </cell>
          <cell r="C112">
            <v>97.42</v>
          </cell>
        </row>
        <row r="113">
          <cell r="B113" t="str">
            <v>HUM</v>
          </cell>
          <cell r="C113">
            <v>445.42</v>
          </cell>
        </row>
        <row r="114">
          <cell r="B114" t="str">
            <v>NOC</v>
          </cell>
          <cell r="C114">
            <v>359.65</v>
          </cell>
        </row>
        <row r="115">
          <cell r="B115" t="str">
            <v>PGR</v>
          </cell>
          <cell r="C115">
            <v>96.17</v>
          </cell>
        </row>
        <row r="116">
          <cell r="B116" t="str">
            <v>GD</v>
          </cell>
          <cell r="C116">
            <v>200.97</v>
          </cell>
        </row>
        <row r="117">
          <cell r="B117" t="str">
            <v>MET</v>
          </cell>
          <cell r="C117">
            <v>64.19</v>
          </cell>
        </row>
        <row r="118">
          <cell r="B118" t="str">
            <v>ATVI</v>
          </cell>
          <cell r="C118">
            <v>69.69</v>
          </cell>
        </row>
        <row r="119">
          <cell r="B119" t="str">
            <v>VMW</v>
          </cell>
          <cell r="C119">
            <v>125.54</v>
          </cell>
        </row>
        <row r="120">
          <cell r="B120" t="str">
            <v>DG</v>
          </cell>
          <cell r="C120">
            <v>225</v>
          </cell>
        </row>
        <row r="121">
          <cell r="B121" t="str">
            <v>AIG</v>
          </cell>
          <cell r="C121">
            <v>58.21</v>
          </cell>
        </row>
        <row r="122">
          <cell r="B122" t="str">
            <v>EPD</v>
          </cell>
          <cell r="C122">
            <v>23.31</v>
          </cell>
        </row>
        <row r="123">
          <cell r="B123" t="str">
            <v>BK</v>
          </cell>
          <cell r="C123">
            <v>60.08</v>
          </cell>
        </row>
        <row r="124">
          <cell r="B124" t="str">
            <v>VRTX</v>
          </cell>
          <cell r="C124">
            <v>187.29</v>
          </cell>
        </row>
        <row r="125">
          <cell r="B125" t="str">
            <v>CARR</v>
          </cell>
          <cell r="C125">
            <v>56.12</v>
          </cell>
        </row>
        <row r="126">
          <cell r="B126" t="str">
            <v>TROW</v>
          </cell>
          <cell r="C126">
            <v>216.98</v>
          </cell>
        </row>
        <row r="127">
          <cell r="B127" t="str">
            <v>SCCO</v>
          </cell>
          <cell r="C127">
            <v>62.46</v>
          </cell>
        </row>
        <row r="128">
          <cell r="B128" t="str">
            <v>KHC</v>
          </cell>
          <cell r="C128">
            <v>37.22</v>
          </cell>
        </row>
        <row r="129">
          <cell r="B129" t="str">
            <v>DOW</v>
          </cell>
          <cell r="C129">
            <v>60.06</v>
          </cell>
        </row>
        <row r="130">
          <cell r="B130" t="str">
            <v>PRU</v>
          </cell>
          <cell r="C130">
            <v>110.75</v>
          </cell>
        </row>
        <row r="131">
          <cell r="B131" t="str">
            <v>DELL</v>
          </cell>
          <cell r="C131">
            <v>56</v>
          </cell>
        </row>
        <row r="132">
          <cell r="B132" t="str">
            <v>AEP</v>
          </cell>
          <cell r="C132">
            <v>82.02</v>
          </cell>
        </row>
        <row r="133">
          <cell r="B133" t="str">
            <v>AZO</v>
          </cell>
          <cell r="C133">
            <v>1886.23</v>
          </cell>
        </row>
        <row r="134">
          <cell r="B134" t="str">
            <v>SRE</v>
          </cell>
          <cell r="C134">
            <v>122.1</v>
          </cell>
        </row>
        <row r="135">
          <cell r="B135" t="str">
            <v>GIS</v>
          </cell>
          <cell r="C135">
            <v>63.24</v>
          </cell>
        </row>
        <row r="136">
          <cell r="B136" t="str">
            <v>TRV</v>
          </cell>
          <cell r="C136">
            <v>157.41999999999999</v>
          </cell>
        </row>
        <row r="137">
          <cell r="B137" t="str">
            <v>AFL</v>
          </cell>
          <cell r="C137">
            <v>57.01</v>
          </cell>
        </row>
        <row r="138">
          <cell r="B138" t="str">
            <v>ADM</v>
          </cell>
          <cell r="C138">
            <v>65.930000000000007</v>
          </cell>
        </row>
        <row r="139">
          <cell r="B139" t="str">
            <v>STT</v>
          </cell>
          <cell r="C139">
            <v>99.07</v>
          </cell>
        </row>
        <row r="140">
          <cell r="B140" t="str">
            <v>HPQ</v>
          </cell>
          <cell r="C140">
            <v>31.82</v>
          </cell>
        </row>
        <row r="141">
          <cell r="B141" t="str">
            <v>AMP</v>
          </cell>
          <cell r="C141">
            <v>308.52999999999997</v>
          </cell>
        </row>
        <row r="142">
          <cell r="B142" t="str">
            <v>RKT</v>
          </cell>
          <cell r="C142">
            <v>16.7</v>
          </cell>
        </row>
        <row r="143">
          <cell r="B143" t="str">
            <v>DFS</v>
          </cell>
          <cell r="C143">
            <v>119.44</v>
          </cell>
        </row>
        <row r="144">
          <cell r="B144" t="str">
            <v>DHI</v>
          </cell>
          <cell r="C144">
            <v>97.79</v>
          </cell>
        </row>
        <row r="145">
          <cell r="B145" t="str">
            <v>ALL</v>
          </cell>
          <cell r="C145">
            <v>114.71</v>
          </cell>
        </row>
        <row r="146">
          <cell r="B146" t="str">
            <v>CMI</v>
          </cell>
          <cell r="C146">
            <v>236.34</v>
          </cell>
        </row>
        <row r="147">
          <cell r="B147" t="str">
            <v>BBY</v>
          </cell>
          <cell r="C147">
            <v>135.63</v>
          </cell>
        </row>
        <row r="148">
          <cell r="B148" t="str">
            <v>APO</v>
          </cell>
          <cell r="C148">
            <v>74.989999999999995</v>
          </cell>
        </row>
        <row r="149">
          <cell r="B149" t="str">
            <v>LEN</v>
          </cell>
          <cell r="C149">
            <v>108.23</v>
          </cell>
        </row>
        <row r="150">
          <cell r="B150" t="str">
            <v>MPLX</v>
          </cell>
          <cell r="C150">
            <v>30.87</v>
          </cell>
        </row>
        <row r="151">
          <cell r="B151" t="str">
            <v>LYB</v>
          </cell>
          <cell r="C151">
            <v>95.39</v>
          </cell>
        </row>
        <row r="152">
          <cell r="B152" t="str">
            <v>FITB</v>
          </cell>
          <cell r="C152">
            <v>44.21</v>
          </cell>
        </row>
        <row r="153">
          <cell r="B153" t="str">
            <v>TSN</v>
          </cell>
          <cell r="C153">
            <v>81.23</v>
          </cell>
        </row>
        <row r="154">
          <cell r="B154" t="str">
            <v>LH</v>
          </cell>
          <cell r="C154">
            <v>297.23</v>
          </cell>
        </row>
        <row r="155">
          <cell r="B155" t="str">
            <v>WY</v>
          </cell>
          <cell r="C155">
            <v>36.93</v>
          </cell>
        </row>
        <row r="156">
          <cell r="B156" t="str">
            <v>SYF</v>
          </cell>
          <cell r="C156">
            <v>50.18</v>
          </cell>
        </row>
        <row r="157">
          <cell r="B157" t="str">
            <v>ET</v>
          </cell>
          <cell r="C157">
            <v>9.1300000000000008</v>
          </cell>
        </row>
        <row r="158">
          <cell r="B158" t="str">
            <v>HIG</v>
          </cell>
          <cell r="C158">
            <v>71.75</v>
          </cell>
        </row>
        <row r="159">
          <cell r="B159" t="str">
            <v>BIO</v>
          </cell>
          <cell r="C159">
            <v>756.28</v>
          </cell>
        </row>
        <row r="160">
          <cell r="B160" t="str">
            <v>RF</v>
          </cell>
          <cell r="C160">
            <v>23.95</v>
          </cell>
        </row>
        <row r="161">
          <cell r="B161" t="str">
            <v>VIAC</v>
          </cell>
          <cell r="C161">
            <v>35.200000000000003</v>
          </cell>
        </row>
        <row r="162">
          <cell r="B162" t="str">
            <v>KEY</v>
          </cell>
          <cell r="C162">
            <v>24.09</v>
          </cell>
        </row>
        <row r="163">
          <cell r="B163" t="str">
            <v>CG</v>
          </cell>
          <cell r="C163">
            <v>60.14</v>
          </cell>
        </row>
        <row r="164">
          <cell r="B164" t="str">
            <v>CFG</v>
          </cell>
          <cell r="C164">
            <v>49.36</v>
          </cell>
        </row>
        <row r="165">
          <cell r="B165" t="str">
            <v>COO</v>
          </cell>
          <cell r="C165">
            <v>417.72</v>
          </cell>
        </row>
        <row r="166">
          <cell r="B166" t="str">
            <v>CINF</v>
          </cell>
          <cell r="C166">
            <v>122.13</v>
          </cell>
        </row>
        <row r="167">
          <cell r="B167" t="str">
            <v>DISH</v>
          </cell>
          <cell r="C167">
            <v>36.54</v>
          </cell>
        </row>
        <row r="168">
          <cell r="B168" t="str">
            <v>DGX</v>
          </cell>
          <cell r="C168">
            <v>150</v>
          </cell>
        </row>
        <row r="169">
          <cell r="B169" t="str">
            <v>CE</v>
          </cell>
          <cell r="C169">
            <v>170.13</v>
          </cell>
        </row>
        <row r="170">
          <cell r="B170" t="str">
            <v>MKL</v>
          </cell>
          <cell r="C170">
            <v>1289.73</v>
          </cell>
        </row>
        <row r="171">
          <cell r="B171" t="str">
            <v>ALLY</v>
          </cell>
          <cell r="C171">
            <v>50.58</v>
          </cell>
        </row>
        <row r="172">
          <cell r="B172" t="str">
            <v>FNF</v>
          </cell>
          <cell r="C172">
            <v>51.07</v>
          </cell>
        </row>
        <row r="173">
          <cell r="B173" t="str">
            <v>STLD</v>
          </cell>
          <cell r="C173">
            <v>66.16</v>
          </cell>
        </row>
        <row r="174">
          <cell r="B174" t="str">
            <v>BG</v>
          </cell>
          <cell r="C174">
            <v>95.13</v>
          </cell>
        </row>
        <row r="175">
          <cell r="B175" t="str">
            <v>SC</v>
          </cell>
          <cell r="C175">
            <v>41.8</v>
          </cell>
        </row>
        <row r="176">
          <cell r="B176" t="str">
            <v>NLY</v>
          </cell>
          <cell r="C176">
            <v>8.58</v>
          </cell>
        </row>
        <row r="177">
          <cell r="B177" t="str">
            <v>UWMC</v>
          </cell>
          <cell r="C177">
            <v>6.99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8BAD-1936-4718-B6A6-349407A79ED4}">
  <dimension ref="B3:F56"/>
  <sheetViews>
    <sheetView tabSelected="1" topLeftCell="A2" workbookViewId="0">
      <selection activeCell="C40" sqref="C40"/>
    </sheetView>
  </sheetViews>
  <sheetFormatPr defaultRowHeight="15" x14ac:dyDescent="0.25"/>
  <cols>
    <col min="3" max="3" width="13.7109375" bestFit="1" customWidth="1"/>
    <col min="4" max="4" width="12" bestFit="1" customWidth="1"/>
    <col min="5" max="5" width="10.5703125" bestFit="1" customWidth="1"/>
    <col min="8" max="8" width="13.7109375" bestFit="1" customWidth="1"/>
    <col min="9" max="9" width="11.85546875" bestFit="1" customWidth="1"/>
  </cols>
  <sheetData>
    <row r="3" spans="2:5" x14ac:dyDescent="0.25">
      <c r="B3" s="1" t="s">
        <v>1</v>
      </c>
      <c r="C3" t="s">
        <v>0</v>
      </c>
      <c r="D3" t="s">
        <v>18</v>
      </c>
      <c r="E3" t="s">
        <v>19</v>
      </c>
    </row>
    <row r="4" spans="2:5" x14ac:dyDescent="0.25">
      <c r="B4" s="2" t="s">
        <v>2</v>
      </c>
      <c r="C4" s="2">
        <v>136.76</v>
      </c>
      <c r="D4">
        <f>VLOOKUP(B4, '[1]11-13-2021--12-30'!$B$1:$C$177, 2, 0)</f>
        <v>149.99</v>
      </c>
      <c r="E4">
        <f>D4-C4</f>
        <v>13.230000000000018</v>
      </c>
    </row>
    <row r="5" spans="2:5" x14ac:dyDescent="0.25">
      <c r="B5" s="2" t="s">
        <v>3</v>
      </c>
      <c r="C5" s="2">
        <v>242.2</v>
      </c>
      <c r="D5">
        <f>VLOOKUP(B5, '[1]11-13-2021--12-30'!$B$1:$C$177, 2, 0)</f>
        <v>336.72</v>
      </c>
      <c r="E5">
        <f t="shared" ref="E5:E22" si="0">D5-C5</f>
        <v>94.520000000000039</v>
      </c>
    </row>
    <row r="6" spans="2:5" x14ac:dyDescent="0.25">
      <c r="B6" s="2" t="s">
        <v>4</v>
      </c>
      <c r="C6" s="2">
        <v>268.10000000000002</v>
      </c>
      <c r="D6">
        <f>VLOOKUP(B6, '[1]11-13-2021--12-30'!$B$1:$C$177, 2, 0)</f>
        <v>340.89</v>
      </c>
      <c r="E6">
        <f t="shared" si="0"/>
        <v>72.789999999999964</v>
      </c>
    </row>
    <row r="7" spans="2:5" x14ac:dyDescent="0.25">
      <c r="B7" s="2" t="s">
        <v>5</v>
      </c>
      <c r="C7" s="2">
        <v>137.97999999999999</v>
      </c>
      <c r="D7">
        <f>VLOOKUP(B7, '[1]11-13-2021--12-30'!$B$1:$C$177, 2, 0)</f>
        <v>166.86</v>
      </c>
      <c r="E7">
        <f t="shared" si="0"/>
        <v>28.880000000000024</v>
      </c>
    </row>
    <row r="8" spans="2:5" x14ac:dyDescent="0.25">
      <c r="B8" s="2" t="s">
        <v>6</v>
      </c>
      <c r="C8" s="2">
        <v>58.18</v>
      </c>
      <c r="D8">
        <f>VLOOKUP(B8, '[1]11-13-2021--12-30'!$B$1:$C$177, 2, 0)</f>
        <v>50.31</v>
      </c>
      <c r="E8">
        <f t="shared" si="0"/>
        <v>-7.8699999999999974</v>
      </c>
    </row>
    <row r="9" spans="2:5" x14ac:dyDescent="0.25">
      <c r="B9" s="2" t="s">
        <v>7</v>
      </c>
      <c r="C9" s="2">
        <v>144.36000000000001</v>
      </c>
      <c r="D9">
        <f>VLOOKUP(B9, '[1]11-13-2021--12-30'!$B$1:$C$177, 2, 0)</f>
        <v>147.76</v>
      </c>
      <c r="E9">
        <f t="shared" si="0"/>
        <v>3.3999999999999773</v>
      </c>
    </row>
    <row r="10" spans="2:5" x14ac:dyDescent="0.25">
      <c r="B10" s="2" t="s">
        <v>8</v>
      </c>
      <c r="C10" s="2">
        <v>55.32</v>
      </c>
      <c r="D10">
        <f>VLOOKUP(B10, '[1]11-13-2021--12-30'!$B$1:$C$177, 2, 0)</f>
        <v>52.34</v>
      </c>
      <c r="E10">
        <f t="shared" si="0"/>
        <v>-2.9799999999999969</v>
      </c>
    </row>
    <row r="11" spans="2:5" x14ac:dyDescent="0.25">
      <c r="B11" s="2" t="s">
        <v>9</v>
      </c>
      <c r="C11" s="2">
        <v>32.369999999999997</v>
      </c>
      <c r="D11">
        <f>VLOOKUP(B11, '[1]11-13-2021--12-30'!$B$1:$C$177, 2, 0)</f>
        <v>46.91</v>
      </c>
      <c r="E11">
        <f t="shared" si="0"/>
        <v>14.54</v>
      </c>
    </row>
    <row r="12" spans="2:5" x14ac:dyDescent="0.25">
      <c r="B12" s="2" t="s">
        <v>10</v>
      </c>
      <c r="C12" s="2">
        <v>324.51</v>
      </c>
      <c r="D12">
        <f>VLOOKUP(B12, '[1]11-13-2021--12-30'!$B$1:$C$177, 2, 0)</f>
        <v>458.99</v>
      </c>
      <c r="E12">
        <f t="shared" si="0"/>
        <v>134.48000000000002</v>
      </c>
    </row>
    <row r="13" spans="2:5" x14ac:dyDescent="0.25">
      <c r="B13" s="2" t="s">
        <v>11</v>
      </c>
      <c r="C13" s="2">
        <v>164.45</v>
      </c>
      <c r="D13">
        <f>VLOOKUP(B13, '[1]11-13-2021--12-30'!$B$1:$C$177, 2, 0)</f>
        <v>165.01</v>
      </c>
      <c r="E13">
        <f t="shared" si="0"/>
        <v>0.56000000000000227</v>
      </c>
    </row>
    <row r="14" spans="2:5" x14ac:dyDescent="0.25">
      <c r="B14" s="2" t="s">
        <v>12</v>
      </c>
      <c r="C14" s="2">
        <v>129.57</v>
      </c>
      <c r="D14">
        <f>VLOOKUP(B14, '[1]11-13-2021--12-30'!$B$1:$C$177, 2, 0)</f>
        <v>146.56</v>
      </c>
      <c r="E14">
        <f t="shared" si="0"/>
        <v>16.990000000000009</v>
      </c>
    </row>
    <row r="15" spans="2:5" x14ac:dyDescent="0.25">
      <c r="B15" s="2" t="s">
        <v>13</v>
      </c>
      <c r="C15" s="2">
        <v>278.86</v>
      </c>
      <c r="D15">
        <f>VLOOKUP(B15, '[1]11-13-2021--12-30'!$B$1:$C$177, 2, 0)</f>
        <v>372.63</v>
      </c>
      <c r="E15">
        <f t="shared" si="0"/>
        <v>93.769999999999982</v>
      </c>
    </row>
    <row r="16" spans="2:5" x14ac:dyDescent="0.25">
      <c r="B16" s="2" t="s">
        <v>14</v>
      </c>
      <c r="C16" s="2">
        <v>73.22</v>
      </c>
      <c r="D16">
        <f>VLOOKUP(B16, '[1]11-13-2021--12-30'!$B$1:$C$177, 2, 0)</f>
        <v>99.85</v>
      </c>
      <c r="E16">
        <f t="shared" si="0"/>
        <v>26.629999999999995</v>
      </c>
    </row>
    <row r="17" spans="2:6" x14ac:dyDescent="0.25">
      <c r="B17" s="2" t="s">
        <v>15</v>
      </c>
      <c r="C17" s="2">
        <v>75.8</v>
      </c>
      <c r="D17">
        <f>VLOOKUP(B17, '[1]11-13-2021--12-30'!$B$1:$C$177, 2, 0)</f>
        <v>84</v>
      </c>
      <c r="E17">
        <f t="shared" si="0"/>
        <v>8.2000000000000028</v>
      </c>
    </row>
    <row r="18" spans="2:6" x14ac:dyDescent="0.25">
      <c r="B18" s="2" t="s">
        <v>16</v>
      </c>
      <c r="C18" s="2">
        <v>208.77</v>
      </c>
      <c r="D18">
        <f>VLOOKUP(B18, '[1]11-13-2021--12-30'!$B$1:$C$177, 2, 0)</f>
        <v>212.09</v>
      </c>
      <c r="E18">
        <f t="shared" si="0"/>
        <v>3.3199999999999932</v>
      </c>
    </row>
    <row r="19" spans="2:6" x14ac:dyDescent="0.25">
      <c r="B19" s="2" t="s">
        <v>17</v>
      </c>
      <c r="C19" s="2">
        <v>51.11</v>
      </c>
      <c r="D19">
        <f>VLOOKUP(B19, '[1]11-13-2021--12-30'!$B$1:$C$177, 2, 0)</f>
        <v>53.5</v>
      </c>
      <c r="E19">
        <f t="shared" si="0"/>
        <v>2.3900000000000006</v>
      </c>
    </row>
    <row r="20" spans="2:6" x14ac:dyDescent="0.25">
      <c r="B20" s="5" t="s">
        <v>20</v>
      </c>
      <c r="C20" s="5">
        <v>337.04</v>
      </c>
      <c r="D20">
        <f>VLOOKUP(B20, '[1]11-13-2021--12-30'!$B$1:$C$177, 2, 0)</f>
        <v>339.06</v>
      </c>
      <c r="E20">
        <f t="shared" si="0"/>
        <v>2.0199999999999818</v>
      </c>
    </row>
    <row r="21" spans="2:6" x14ac:dyDescent="0.25">
      <c r="B21" s="5" t="s">
        <v>21</v>
      </c>
      <c r="C21" s="5">
        <v>179.01</v>
      </c>
      <c r="D21">
        <f>VLOOKUP(B21, '[1]11-13-2021--12-30'!$B$1:$C$177, 2, 0)</f>
        <v>183.66</v>
      </c>
      <c r="E21">
        <f t="shared" si="0"/>
        <v>4.6500000000000057</v>
      </c>
    </row>
    <row r="22" spans="2:6" x14ac:dyDescent="0.25">
      <c r="B22" s="5" t="s">
        <v>22</v>
      </c>
      <c r="C22" s="5">
        <v>11.4</v>
      </c>
      <c r="D22">
        <f>VLOOKUP(B22, '[1]11-13-2021--12-30'!$B$1:$C$177, 2, 0)</f>
        <v>107.59</v>
      </c>
      <c r="E22">
        <f t="shared" si="0"/>
        <v>96.19</v>
      </c>
    </row>
    <row r="23" spans="2:6" x14ac:dyDescent="0.25">
      <c r="B23" s="2"/>
      <c r="C23" s="2"/>
    </row>
    <row r="24" spans="2:6" x14ac:dyDescent="0.25">
      <c r="B24" s="2"/>
      <c r="C24" s="2"/>
    </row>
    <row r="25" spans="2:6" x14ac:dyDescent="0.25">
      <c r="B25" s="2"/>
      <c r="C25" s="2"/>
    </row>
    <row r="26" spans="2:6" x14ac:dyDescent="0.25">
      <c r="B26" s="2"/>
      <c r="C26" s="2"/>
    </row>
    <row r="27" spans="2:6" x14ac:dyDescent="0.25">
      <c r="B27" s="2"/>
      <c r="C27" s="2"/>
    </row>
    <row r="29" spans="2:6" x14ac:dyDescent="0.25">
      <c r="B29" t="s">
        <v>27</v>
      </c>
      <c r="C29">
        <f>SUM(C4:C27)</f>
        <v>2909.0099999999998</v>
      </c>
      <c r="D29">
        <f>SUM(D4:D27)</f>
        <v>3514.7200000000003</v>
      </c>
      <c r="E29">
        <f>SUM(E4:E27)</f>
        <v>605.71</v>
      </c>
      <c r="F29" s="4">
        <f>E29/C29</f>
        <v>0.20821860357991209</v>
      </c>
    </row>
    <row r="31" spans="2:6" x14ac:dyDescent="0.25">
      <c r="B31" t="s">
        <v>25</v>
      </c>
      <c r="C31">
        <f>SUM(C4:C12)</f>
        <v>1399.7799999999997</v>
      </c>
      <c r="D31">
        <f>SUM(D4:D12)</f>
        <v>1750.77</v>
      </c>
      <c r="E31">
        <f>SUM(E4:E12)</f>
        <v>350.99</v>
      </c>
      <c r="F31" s="3">
        <f>E31/C31</f>
        <v>0.2507465458857821</v>
      </c>
    </row>
    <row r="37" spans="2:6" x14ac:dyDescent="0.25">
      <c r="B37" t="s">
        <v>23</v>
      </c>
      <c r="C37" s="6">
        <v>3826.31</v>
      </c>
      <c r="D37" s="6">
        <v>4682.8500000000004</v>
      </c>
      <c r="E37">
        <f>D37-C37</f>
        <v>856.54000000000042</v>
      </c>
      <c r="F37" s="3">
        <f>E37/C37</f>
        <v>0.22385535934098399</v>
      </c>
    </row>
    <row r="38" spans="2:6" x14ac:dyDescent="0.25">
      <c r="B38" t="s">
        <v>26</v>
      </c>
      <c r="C38" s="6">
        <v>360.71</v>
      </c>
      <c r="D38" s="6">
        <v>429.57</v>
      </c>
      <c r="E38">
        <f>D38-C38</f>
        <v>68.860000000000014</v>
      </c>
      <c r="F38" s="3">
        <f>E38/C38</f>
        <v>0.1909012780349866</v>
      </c>
    </row>
    <row r="39" spans="2:6" x14ac:dyDescent="0.25">
      <c r="B39" t="s">
        <v>28</v>
      </c>
      <c r="C39" s="6">
        <v>393.87</v>
      </c>
      <c r="D39" s="6">
        <v>469.16</v>
      </c>
      <c r="E39">
        <f>D39-C39</f>
        <v>75.29000000000002</v>
      </c>
      <c r="F39" s="3">
        <f>E39/C39</f>
        <v>0.19115444182090544</v>
      </c>
    </row>
    <row r="41" spans="2:6" x14ac:dyDescent="0.25">
      <c r="B41" s="7" t="s">
        <v>24</v>
      </c>
    </row>
    <row r="42" spans="2:6" x14ac:dyDescent="0.25">
      <c r="B42" s="8">
        <v>44470</v>
      </c>
      <c r="C42" s="9">
        <v>2000</v>
      </c>
      <c r="D42" s="9">
        <v>2121</v>
      </c>
      <c r="E42" s="9">
        <f>D42-C42</f>
        <v>121</v>
      </c>
      <c r="F42" s="3">
        <f>E42/C42</f>
        <v>6.0499999999999998E-2</v>
      </c>
    </row>
    <row r="43" spans="2:6" x14ac:dyDescent="0.25">
      <c r="B43" s="8">
        <v>44501</v>
      </c>
      <c r="C43" s="9">
        <f>D42</f>
        <v>2121</v>
      </c>
      <c r="D43" s="9">
        <f>D42+E43</f>
        <v>2248.2600000000002</v>
      </c>
      <c r="E43" s="9">
        <f>D42*0.06</f>
        <v>127.25999999999999</v>
      </c>
      <c r="F43" s="3">
        <f>E43/C43</f>
        <v>0.06</v>
      </c>
    </row>
    <row r="44" spans="2:6" x14ac:dyDescent="0.25">
      <c r="B44" s="8">
        <v>44531</v>
      </c>
      <c r="C44" s="9">
        <f t="shared" ref="C44:C54" si="1">D43</f>
        <v>2248.2600000000002</v>
      </c>
      <c r="D44" s="9">
        <f t="shared" ref="D44:D52" si="2">D43+E44</f>
        <v>2383.1556</v>
      </c>
      <c r="E44" s="9">
        <f t="shared" ref="E44:E54" si="3">D43*0.06</f>
        <v>134.8956</v>
      </c>
      <c r="F44" s="3">
        <f t="shared" ref="F44:F52" si="4">E44/C44</f>
        <v>0.06</v>
      </c>
    </row>
    <row r="45" spans="2:6" x14ac:dyDescent="0.25">
      <c r="B45" s="8">
        <v>44562</v>
      </c>
      <c r="C45" s="9">
        <f t="shared" si="1"/>
        <v>2383.1556</v>
      </c>
      <c r="D45" s="9">
        <f t="shared" si="2"/>
        <v>2526.1449360000001</v>
      </c>
      <c r="E45" s="9">
        <f t="shared" si="3"/>
        <v>142.98933600000001</v>
      </c>
      <c r="F45" s="3">
        <f t="shared" si="4"/>
        <v>6.0000000000000005E-2</v>
      </c>
    </row>
    <row r="46" spans="2:6" x14ac:dyDescent="0.25">
      <c r="B46" s="8">
        <v>44593</v>
      </c>
      <c r="C46" s="9">
        <f t="shared" si="1"/>
        <v>2526.1449360000001</v>
      </c>
      <c r="D46" s="9">
        <f t="shared" si="2"/>
        <v>2677.7136321600001</v>
      </c>
      <c r="E46" s="9">
        <f t="shared" si="3"/>
        <v>151.56869616</v>
      </c>
      <c r="F46" s="3">
        <f t="shared" si="4"/>
        <v>0.06</v>
      </c>
    </row>
    <row r="47" spans="2:6" x14ac:dyDescent="0.25">
      <c r="B47" s="8">
        <v>44621</v>
      </c>
      <c r="C47" s="9">
        <f t="shared" si="1"/>
        <v>2677.7136321600001</v>
      </c>
      <c r="D47" s="9">
        <f t="shared" si="2"/>
        <v>2838.3764500896</v>
      </c>
      <c r="E47" s="9">
        <f t="shared" si="3"/>
        <v>160.66281792960001</v>
      </c>
      <c r="F47" s="3">
        <f t="shared" si="4"/>
        <v>6.0000000000000005E-2</v>
      </c>
    </row>
    <row r="48" spans="2:6" x14ac:dyDescent="0.25">
      <c r="B48" s="8">
        <v>44652</v>
      </c>
      <c r="C48" s="9">
        <f t="shared" si="1"/>
        <v>2838.3764500896</v>
      </c>
      <c r="D48" s="9">
        <f t="shared" si="2"/>
        <v>3008.6790370949761</v>
      </c>
      <c r="E48" s="9">
        <f t="shared" si="3"/>
        <v>170.30258700537598</v>
      </c>
      <c r="F48" s="3">
        <f t="shared" si="4"/>
        <v>0.06</v>
      </c>
    </row>
    <row r="49" spans="2:6" x14ac:dyDescent="0.25">
      <c r="B49" s="8">
        <v>44682</v>
      </c>
      <c r="C49" s="9">
        <f t="shared" si="1"/>
        <v>3008.6790370949761</v>
      </c>
      <c r="D49" s="9">
        <f t="shared" si="2"/>
        <v>3189.1997793206747</v>
      </c>
      <c r="E49" s="9">
        <f t="shared" si="3"/>
        <v>180.52074222569857</v>
      </c>
      <c r="F49" s="3">
        <f t="shared" si="4"/>
        <v>0.06</v>
      </c>
    </row>
    <row r="50" spans="2:6" x14ac:dyDescent="0.25">
      <c r="B50" s="8">
        <v>44713</v>
      </c>
      <c r="C50" s="9">
        <f t="shared" si="1"/>
        <v>3189.1997793206747</v>
      </c>
      <c r="D50" s="9">
        <f t="shared" si="2"/>
        <v>3380.5517660799151</v>
      </c>
      <c r="E50" s="9">
        <f t="shared" si="3"/>
        <v>191.35198675924048</v>
      </c>
      <c r="F50" s="3">
        <f t="shared" si="4"/>
        <v>0.06</v>
      </c>
    </row>
    <row r="51" spans="2:6" x14ac:dyDescent="0.25">
      <c r="B51" s="8">
        <v>44743</v>
      </c>
      <c r="C51" s="9">
        <f t="shared" si="1"/>
        <v>3380.5517660799151</v>
      </c>
      <c r="D51" s="9">
        <f t="shared" si="2"/>
        <v>3583.3848720447099</v>
      </c>
      <c r="E51" s="9">
        <f t="shared" si="3"/>
        <v>202.8331059647949</v>
      </c>
      <c r="F51" s="3">
        <f t="shared" si="4"/>
        <v>0.06</v>
      </c>
    </row>
    <row r="52" spans="2:6" x14ac:dyDescent="0.25">
      <c r="B52" s="8">
        <v>44774</v>
      </c>
      <c r="C52" s="9">
        <f t="shared" si="1"/>
        <v>3583.3848720447099</v>
      </c>
      <c r="D52" s="9">
        <f t="shared" si="2"/>
        <v>3798.3879643673927</v>
      </c>
      <c r="E52" s="9">
        <f t="shared" si="3"/>
        <v>215.00309232268259</v>
      </c>
      <c r="F52" s="3">
        <f t="shared" si="4"/>
        <v>0.06</v>
      </c>
    </row>
    <row r="53" spans="2:6" x14ac:dyDescent="0.25">
      <c r="B53" s="8">
        <v>44805</v>
      </c>
      <c r="C53" s="9">
        <f t="shared" si="1"/>
        <v>3798.3879643673927</v>
      </c>
      <c r="D53" s="9">
        <f t="shared" ref="D53:D54" si="5">D52+E53</f>
        <v>4026.2912422294362</v>
      </c>
      <c r="E53" s="9">
        <f t="shared" si="3"/>
        <v>227.90327786204355</v>
      </c>
      <c r="F53" s="3">
        <f t="shared" ref="F53:F54" si="6">E53/C53</f>
        <v>0.06</v>
      </c>
    </row>
    <row r="54" spans="2:6" x14ac:dyDescent="0.25">
      <c r="B54" s="8">
        <v>44835</v>
      </c>
      <c r="C54" s="9">
        <f t="shared" si="1"/>
        <v>4026.2912422294362</v>
      </c>
      <c r="D54" s="9">
        <f t="shared" si="5"/>
        <v>4267.8687167632024</v>
      </c>
      <c r="E54" s="9">
        <f t="shared" si="3"/>
        <v>241.57747453376615</v>
      </c>
      <c r="F54" s="3">
        <f t="shared" si="6"/>
        <v>0.06</v>
      </c>
    </row>
    <row r="56" spans="2:6" x14ac:dyDescent="0.25">
      <c r="E56" s="9">
        <f>D54-C42</f>
        <v>2267.8687167632024</v>
      </c>
      <c r="F56" s="3">
        <f>E56/C42</f>
        <v>1.1339343583816013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Campuzano</dc:creator>
  <cp:lastModifiedBy>Mauricio Campuzano</cp:lastModifiedBy>
  <dcterms:created xsi:type="dcterms:W3CDTF">2021-11-13T17:49:22Z</dcterms:created>
  <dcterms:modified xsi:type="dcterms:W3CDTF">2021-11-13T18:29:06Z</dcterms:modified>
</cp:coreProperties>
</file>